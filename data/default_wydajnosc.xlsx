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23232" windowHeight="18576" tabRatio="600" firstSheet="0" activeTab="0" autoFilterDateGrouping="1"/>
  </bookViews>
  <sheets>
    <sheet xmlns:r="http://schemas.openxmlformats.org/officeDocument/2006/relationships" name="Wydajność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charset val="238"/>
      <family val="2"/>
      <color theme="1"/>
      <sz val="11"/>
      <scheme val="minor"/>
    </font>
    <font>
      <name val="Calibri"/>
      <charset val="238"/>
      <family val="2"/>
      <color rgb="FF000000"/>
      <sz val="11"/>
    </font>
    <font>
      <name val="Cambria"/>
      <charset val="238"/>
      <family val="1"/>
      <b val="1"/>
      <color rgb="FF000000"/>
      <sz val="11"/>
    </font>
    <font>
      <name val="Calibri"/>
      <charset val="238"/>
      <family val="2"/>
      <b val="1"/>
      <color rgb="FF000000"/>
      <sz val="11"/>
    </font>
    <font>
      <name val="Cambria"/>
      <family val="2"/>
      <color rgb="FF000000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4" fillId="0" borderId="0" pivotButton="0" quotePrefix="0" xfId="0"/>
    <xf numFmtId="4" fontId="1" fillId="0" borderId="0" pivotButton="0" quotePrefix="0" xfId="0"/>
    <xf numFmtId="4" fontId="0" fillId="0" borderId="0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tabSelected="1" zoomScale="110" zoomScaleNormal="110" workbookViewId="0">
      <selection activeCell="G4" sqref="G4"/>
    </sheetView>
  </sheetViews>
  <sheetFormatPr baseColWidth="8" defaultRowHeight="14.4"/>
  <cols>
    <col width="22.6640625" customWidth="1" min="3" max="3"/>
  </cols>
  <sheetData>
    <row r="1"/>
    <row r="2"/>
    <row r="3">
      <c r="A3" s="1" t="inlineStr">
        <is>
          <t xml:space="preserve">Arkusz/dztuka </t>
        </is>
      </c>
      <c r="B3" s="2" t="inlineStr">
        <is>
          <t>Maszyn/Człowiek</t>
        </is>
      </c>
      <c r="C3" s="3" t="inlineStr">
        <is>
          <t>Nazwa maszyny</t>
        </is>
      </c>
      <c r="D3" s="2" t="inlineStr">
        <is>
          <t>Stawka rbg</t>
        </is>
      </c>
      <c r="E3" t="inlineStr">
        <is>
          <t>SetUp czas w minutach</t>
        </is>
      </c>
      <c r="F3" t="inlineStr">
        <is>
          <t>Wydajnośc</t>
        </is>
      </c>
      <c r="G3" t="inlineStr">
        <is>
          <t>Miara</t>
        </is>
      </c>
    </row>
    <row r="4">
      <c r="A4" s="1" t="inlineStr">
        <is>
          <t>Arkusz</t>
        </is>
      </c>
      <c r="B4" s="4" t="inlineStr">
        <is>
          <t>Maszyna</t>
        </is>
      </c>
      <c r="C4" s="5" t="inlineStr">
        <is>
          <t>HP35K</t>
        </is>
      </c>
      <c r="D4" s="6" t="n">
        <v>129.8223818181818</v>
      </c>
      <c r="E4">
        <f>59685/5609</f>
        <v/>
      </c>
      <c r="F4" t="n">
        <v>2011</v>
      </c>
      <c r="G4" t="inlineStr">
        <is>
          <t>ark/h</t>
        </is>
      </c>
    </row>
    <row r="5">
      <c r="A5" s="1" t="inlineStr">
        <is>
          <t>Arkusz</t>
        </is>
      </c>
      <c r="B5" s="4" t="inlineStr">
        <is>
          <t>Maszyna</t>
        </is>
      </c>
      <c r="C5" s="5" t="inlineStr">
        <is>
          <t>Maszyna lakierująca 2/Cyfra</t>
        </is>
      </c>
      <c r="D5" s="6" t="n">
        <v>89.27844545454546</v>
      </c>
      <c r="E5">
        <f>886/7247</f>
        <v/>
      </c>
      <c r="F5" t="n">
        <v>1461</v>
      </c>
      <c r="G5" t="inlineStr">
        <is>
          <t>ark/h</t>
        </is>
      </c>
    </row>
    <row r="6">
      <c r="A6" s="1" t="inlineStr">
        <is>
          <t>Arkusz</t>
        </is>
      </c>
      <c r="B6" s="4" t="inlineStr">
        <is>
          <t>Maszyna</t>
        </is>
      </c>
      <c r="C6" s="5" t="inlineStr">
        <is>
          <t>Easy-matrix 1</t>
        </is>
      </c>
      <c r="D6" s="6" t="n">
        <v>117.2226109090909</v>
      </c>
      <c r="E6" t="n">
        <v>30</v>
      </c>
      <c r="F6" t="n">
        <v>2597</v>
      </c>
      <c r="G6" t="inlineStr">
        <is>
          <t>ark/h</t>
        </is>
      </c>
    </row>
    <row r="7">
      <c r="A7" s="1" t="inlineStr">
        <is>
          <t>sztuka</t>
        </is>
      </c>
      <c r="B7" s="4" t="inlineStr">
        <is>
          <t>Człowiek</t>
        </is>
      </c>
      <c r="C7" s="5" t="inlineStr">
        <is>
          <t>Wyrywanie ręczne</t>
        </is>
      </c>
      <c r="D7" s="6" t="n">
        <v>66.15000000000001</v>
      </c>
      <c r="E7" t="n">
        <v>0</v>
      </c>
      <c r="F7" t="n">
        <v>1918</v>
      </c>
      <c r="G7" t="inlineStr">
        <is>
          <t>szt/h</t>
        </is>
      </c>
    </row>
    <row r="8">
      <c r="A8" s="1" t="inlineStr">
        <is>
          <t>sztuka</t>
        </is>
      </c>
      <c r="B8" s="4" t="inlineStr">
        <is>
          <t>Człowiek</t>
        </is>
      </c>
      <c r="C8" s="5" t="inlineStr">
        <is>
          <t>Pakowanie</t>
        </is>
      </c>
      <c r="D8" s="6" t="n">
        <v>59.535</v>
      </c>
      <c r="E8" t="n">
        <v>0</v>
      </c>
      <c r="F8" t="n">
        <v>3936</v>
      </c>
      <c r="G8" t="inlineStr">
        <is>
          <t>szt/h</t>
        </is>
      </c>
    </row>
    <row r="9">
      <c r="A9" s="1" t="inlineStr">
        <is>
          <t>Arkusz</t>
        </is>
      </c>
      <c r="B9" s="4" t="inlineStr">
        <is>
          <t>Maszyna</t>
        </is>
      </c>
      <c r="C9" s="5" t="inlineStr">
        <is>
          <t>KBA 1_4</t>
        </is>
      </c>
      <c r="D9" s="6" t="n">
        <v>113.9103</v>
      </c>
      <c r="E9" t="n">
        <v>5</v>
      </c>
    </row>
    <row r="10">
      <c r="A10" s="1" t="inlineStr">
        <is>
          <t>Arkusz</t>
        </is>
      </c>
      <c r="B10" s="4" t="inlineStr">
        <is>
          <t>Maszyna</t>
        </is>
      </c>
      <c r="C10" s="5" t="inlineStr">
        <is>
          <t>BOBST1 106 E3.0</t>
        </is>
      </c>
      <c r="D10" s="6" t="n">
        <v>155.4645272727272</v>
      </c>
      <c r="E10" t="n">
        <v>30</v>
      </c>
      <c r="F10" t="n">
        <v>4234</v>
      </c>
      <c r="G10" t="inlineStr">
        <is>
          <t>ark/h</t>
        </is>
      </c>
    </row>
    <row r="11">
      <c r="A11" s="1" t="inlineStr">
        <is>
          <t>sztuka</t>
        </is>
      </c>
      <c r="B11" s="4" t="inlineStr">
        <is>
          <t>Maszyna</t>
        </is>
      </c>
      <c r="C11" s="5" t="inlineStr">
        <is>
          <t>Sklejarka 4</t>
        </is>
      </c>
      <c r="D11" s="6" t="n">
        <v>125.0307163636364</v>
      </c>
      <c r="E11">
        <f>26758/589</f>
        <v/>
      </c>
      <c r="F11" t="n">
        <v>10284</v>
      </c>
      <c r="G11" t="inlineStr">
        <is>
          <t>szt/h</t>
        </is>
      </c>
    </row>
    <row r="12">
      <c r="A12" s="1" t="inlineStr">
        <is>
          <t>sztuka</t>
        </is>
      </c>
      <c r="B12" s="4" t="inlineStr">
        <is>
          <t>Człowiek</t>
        </is>
      </c>
      <c r="C12" s="5" t="inlineStr">
        <is>
          <t>ProWax</t>
        </is>
      </c>
      <c r="D12" s="6" t="n">
        <v>76.40324999999999</v>
      </c>
      <c r="E12" t="n">
        <v>0</v>
      </c>
    </row>
    <row r="13">
      <c r="A13" s="1" t="inlineStr">
        <is>
          <t>Arkusz</t>
        </is>
      </c>
      <c r="B13" s="4" t="inlineStr">
        <is>
          <t>Maszyna</t>
        </is>
      </c>
      <c r="C13" s="5" t="inlineStr">
        <is>
          <t>HP7K</t>
        </is>
      </c>
      <c r="D13" s="6" t="n">
        <v>118.1607381818182</v>
      </c>
      <c r="E13">
        <f>13533/11754</f>
        <v/>
      </c>
      <c r="F13" t="n">
        <v>2078</v>
      </c>
      <c r="G13" t="inlineStr">
        <is>
          <t>ark/h</t>
        </is>
      </c>
    </row>
    <row r="14">
      <c r="A14" s="1" t="inlineStr">
        <is>
          <t>Arkusz</t>
        </is>
      </c>
      <c r="B14" s="4" t="inlineStr">
        <is>
          <t>Maszyna</t>
        </is>
      </c>
      <c r="C14" s="5" t="inlineStr">
        <is>
          <t>Maszyna lakierująca 1/ Cyfra +SP</t>
        </is>
      </c>
      <c r="D14" s="6" t="n">
        <v>89.27844545454546</v>
      </c>
      <c r="E14">
        <f>886/7247</f>
        <v/>
      </c>
      <c r="F14" t="n">
        <v>1461</v>
      </c>
      <c r="G14" t="inlineStr">
        <is>
          <t>ark/h</t>
        </is>
      </c>
    </row>
    <row r="15">
      <c r="A15" s="1" t="inlineStr">
        <is>
          <t>Arkusz</t>
        </is>
      </c>
      <c r="B15" s="4" t="inlineStr">
        <is>
          <t>Maszyna</t>
        </is>
      </c>
      <c r="C15" s="5" t="inlineStr">
        <is>
          <t>Windmill 6</t>
        </is>
      </c>
      <c r="D15" s="6" t="n">
        <v>79.40405454545453</v>
      </c>
      <c r="E15">
        <f>105469/5424</f>
        <v/>
      </c>
      <c r="F15" t="n">
        <v>1478</v>
      </c>
      <c r="G15" t="inlineStr">
        <is>
          <t>ark/h</t>
        </is>
      </c>
    </row>
    <row r="16">
      <c r="A16" s="1" t="inlineStr">
        <is>
          <t>sztuka</t>
        </is>
      </c>
      <c r="B16" s="4" t="inlineStr">
        <is>
          <t>Maszyna</t>
        </is>
      </c>
      <c r="C16" s="5" t="inlineStr">
        <is>
          <t>Sklejarka 2</t>
        </is>
      </c>
      <c r="D16" s="6" t="n">
        <v>125.0307163636364</v>
      </c>
      <c r="E16">
        <f>84430/4103</f>
        <v/>
      </c>
      <c r="F16">
        <f>3723</f>
        <v/>
      </c>
      <c r="G16" t="inlineStr">
        <is>
          <t>szt/h</t>
        </is>
      </c>
    </row>
    <row r="17">
      <c r="A17" s="1" t="inlineStr">
        <is>
          <t>Arkusz</t>
        </is>
      </c>
      <c r="B17" s="4" t="inlineStr">
        <is>
          <t>Maszyna</t>
        </is>
      </c>
      <c r="C17" s="5" t="inlineStr">
        <is>
          <t>Windmill 5</t>
        </is>
      </c>
      <c r="D17" s="6" t="n">
        <v>79.40405454545453</v>
      </c>
      <c r="E17">
        <f>46914/2158</f>
        <v/>
      </c>
      <c r="F17" t="n">
        <v>1456</v>
      </c>
      <c r="G17" t="inlineStr">
        <is>
          <t>ark/h</t>
        </is>
      </c>
    </row>
    <row r="18">
      <c r="A18" s="1" t="inlineStr">
        <is>
          <t>sztuka</t>
        </is>
      </c>
      <c r="B18" s="4" t="inlineStr">
        <is>
          <t>Człowiek</t>
        </is>
      </c>
      <c r="C18" s="5" t="inlineStr">
        <is>
          <t>Assembling 4</t>
        </is>
      </c>
      <c r="D18" s="6" t="n">
        <v>49.65</v>
      </c>
      <c r="E18" t="n">
        <v>0</v>
      </c>
      <c r="F18" t="n">
        <v>164</v>
      </c>
      <c r="G18" t="inlineStr">
        <is>
          <t>szt/h</t>
        </is>
      </c>
    </row>
    <row r="19">
      <c r="A19" s="1" t="inlineStr">
        <is>
          <t>sztuka</t>
        </is>
      </c>
      <c r="B19" s="4" t="inlineStr">
        <is>
          <t>Człowiek</t>
        </is>
      </c>
      <c r="C19" s="5" t="inlineStr">
        <is>
          <t>Klejenie ręczne</t>
        </is>
      </c>
      <c r="D19" s="6" t="n">
        <v>108.1853181818182</v>
      </c>
      <c r="E19" t="n">
        <v>0</v>
      </c>
      <c r="F19" t="n">
        <v>586</v>
      </c>
      <c r="G19" t="inlineStr">
        <is>
          <t>szt/h</t>
        </is>
      </c>
    </row>
    <row r="20">
      <c r="A20" s="1" t="inlineStr">
        <is>
          <t>Arkusz</t>
        </is>
      </c>
      <c r="B20" s="4" t="inlineStr">
        <is>
          <t>Maszyna</t>
        </is>
      </c>
      <c r="C20" s="5" t="inlineStr">
        <is>
          <t>Windmill 1</t>
        </is>
      </c>
      <c r="D20" s="6" t="n">
        <v>79.40405454545453</v>
      </c>
      <c r="E20">
        <f>104978/5951</f>
        <v/>
      </c>
      <c r="F20" t="n">
        <v>1906</v>
      </c>
      <c r="G20" t="inlineStr">
        <is>
          <t>ark/h</t>
        </is>
      </c>
    </row>
    <row r="21">
      <c r="A21" s="1" t="inlineStr">
        <is>
          <t>sztuka</t>
        </is>
      </c>
      <c r="B21" s="4" t="inlineStr">
        <is>
          <t>Maszyna</t>
        </is>
      </c>
      <c r="C21" s="5" t="inlineStr">
        <is>
          <t>Sklejarka  3</t>
        </is>
      </c>
      <c r="D21" s="6" t="n">
        <v>125.0307163636364</v>
      </c>
      <c r="E21">
        <f>76634/4801</f>
        <v/>
      </c>
      <c r="F21">
        <f>7010</f>
        <v/>
      </c>
      <c r="G21" t="inlineStr">
        <is>
          <t>szt/h</t>
        </is>
      </c>
    </row>
    <row r="22">
      <c r="A22" s="1" t="inlineStr">
        <is>
          <t>sztuka</t>
        </is>
      </c>
      <c r="B22" s="4" t="inlineStr">
        <is>
          <t>Człowiek</t>
        </is>
      </c>
      <c r="C22" s="5" t="inlineStr">
        <is>
          <t>Assembling 3</t>
        </is>
      </c>
      <c r="D22" s="6" t="n">
        <v>49.65</v>
      </c>
      <c r="E22" t="n">
        <v>0</v>
      </c>
      <c r="F22" t="n">
        <v>179</v>
      </c>
      <c r="G22" t="inlineStr">
        <is>
          <t>szt/h</t>
        </is>
      </c>
    </row>
    <row r="23">
      <c r="A23" s="1" t="inlineStr">
        <is>
          <t>sztuka</t>
        </is>
      </c>
      <c r="B23" s="4" t="inlineStr">
        <is>
          <t>Maszyna</t>
        </is>
      </c>
      <c r="C23" s="5" t="inlineStr">
        <is>
          <t>Sklejarka 1</t>
        </is>
      </c>
      <c r="D23" s="6" t="n">
        <v>125.0307163636364</v>
      </c>
      <c r="E23">
        <f>101062/5361</f>
        <v/>
      </c>
      <c r="F23" t="n">
        <v>4284</v>
      </c>
      <c r="G23" t="inlineStr">
        <is>
          <t>szt/h</t>
        </is>
      </c>
    </row>
    <row r="24">
      <c r="A24" s="1" t="inlineStr">
        <is>
          <t>sztuka</t>
        </is>
      </c>
      <c r="B24" s="4" t="inlineStr">
        <is>
          <t>Człowiek</t>
        </is>
      </c>
      <c r="C24" s="5" t="inlineStr">
        <is>
          <t>Assembling 1</t>
        </is>
      </c>
      <c r="D24" s="6" t="n">
        <v>49.65</v>
      </c>
      <c r="E24" t="n">
        <v>0</v>
      </c>
      <c r="F24" t="n">
        <v>221</v>
      </c>
      <c r="G24" t="inlineStr">
        <is>
          <t>szt/h</t>
        </is>
      </c>
    </row>
    <row r="25">
      <c r="A25" s="1" t="inlineStr">
        <is>
          <t>Arkusz</t>
        </is>
      </c>
      <c r="B25" s="4" t="inlineStr">
        <is>
          <t>Maszyna</t>
        </is>
      </c>
      <c r="C25" s="5" t="inlineStr">
        <is>
          <t>Heidelberg CX 104</t>
        </is>
      </c>
      <c r="D25" s="6" t="n">
        <v>207.4584272727273</v>
      </c>
      <c r="E25" t="n">
        <v>30</v>
      </c>
      <c r="F25">
        <f>8000</f>
        <v/>
      </c>
      <c r="G25" t="inlineStr">
        <is>
          <t>ark/h</t>
        </is>
      </c>
    </row>
    <row r="26">
      <c r="A26" s="1" t="inlineStr">
        <is>
          <t>sztuka</t>
        </is>
      </c>
      <c r="B26" s="4" t="inlineStr">
        <is>
          <t>Człowiek</t>
        </is>
      </c>
      <c r="C26" s="4" t="inlineStr">
        <is>
          <t>Assembling 2</t>
        </is>
      </c>
      <c r="D26" s="6" t="n">
        <v>49.65</v>
      </c>
      <c r="E26" t="n">
        <v>0</v>
      </c>
      <c r="F26" t="n">
        <v>148</v>
      </c>
      <c r="G26" t="inlineStr">
        <is>
          <t>szt/h</t>
        </is>
      </c>
    </row>
    <row r="27">
      <c r="A27" s="1" t="inlineStr">
        <is>
          <t>Arkusz</t>
        </is>
      </c>
      <c r="B27" s="1" t="inlineStr">
        <is>
          <t>Maszyna</t>
        </is>
      </c>
      <c r="C27" s="1" t="inlineStr">
        <is>
          <t>Hewlett Packard 1</t>
        </is>
      </c>
      <c r="D27" s="7" t="n">
        <v>113.7298909090909</v>
      </c>
      <c r="E27">
        <f>664/617</f>
        <v/>
      </c>
      <c r="F27" t="n">
        <v>1033</v>
      </c>
      <c r="G27" t="inlineStr">
        <is>
          <t>ark/h</t>
        </is>
      </c>
    </row>
    <row r="28">
      <c r="A28" s="1" t="inlineStr">
        <is>
          <t>Arkusz</t>
        </is>
      </c>
      <c r="B28" s="1" t="inlineStr">
        <is>
          <t>Maszyna</t>
        </is>
      </c>
      <c r="C28" t="inlineStr">
        <is>
          <t>Maszyna lakierująca 4</t>
        </is>
      </c>
      <c r="D28" s="8" t="n">
        <v>118.1153833363636</v>
      </c>
      <c r="E28">
        <f>886/7247</f>
        <v/>
      </c>
      <c r="F28" t="n">
        <v>1461</v>
      </c>
      <c r="G28" t="inlineStr">
        <is>
          <t>ark/h</t>
        </is>
      </c>
    </row>
    <row r="29">
      <c r="A29" s="1" t="inlineStr">
        <is>
          <t>Arkusz</t>
        </is>
      </c>
      <c r="B29" s="1" t="inlineStr">
        <is>
          <t>Maszyna</t>
        </is>
      </c>
      <c r="C29" t="inlineStr">
        <is>
          <t>Gilotyna</t>
        </is>
      </c>
      <c r="D29" s="8" t="n">
        <v>65.68695</v>
      </c>
      <c r="E29" t="n">
        <v>0</v>
      </c>
      <c r="F29" t="n">
        <v>290</v>
      </c>
      <c r="G29" t="inlineStr">
        <is>
          <t>ark/h</t>
        </is>
      </c>
    </row>
    <row r="30">
      <c r="A30" s="1" t="inlineStr">
        <is>
          <t>Arkusz</t>
        </is>
      </c>
      <c r="B30" s="4" t="inlineStr">
        <is>
          <t>Maszyna</t>
        </is>
      </c>
      <c r="C30" s="5" t="inlineStr">
        <is>
          <t>Windmill 3</t>
        </is>
      </c>
      <c r="D30" s="8">
        <f>D20</f>
        <v/>
      </c>
      <c r="E30">
        <f>719/26</f>
        <v/>
      </c>
      <c r="F30" t="n">
        <v>1365</v>
      </c>
      <c r="G30" t="inlineStr">
        <is>
          <t>ark/h</t>
        </is>
      </c>
    </row>
    <row r="31">
      <c r="A31" s="1" t="inlineStr">
        <is>
          <t>sztuka</t>
        </is>
      </c>
      <c r="B31" s="4" t="inlineStr">
        <is>
          <t>Człowiek</t>
        </is>
      </c>
      <c r="C31" t="inlineStr">
        <is>
          <t>Assembling Origio</t>
        </is>
      </c>
      <c r="D31" s="8">
        <f>D26</f>
        <v/>
      </c>
      <c r="F31" t="n">
        <v>2680</v>
      </c>
      <c r="G31" t="inlineStr">
        <is>
          <t>szt/h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Monika Siurnicka</dc:creator>
  <dcterms:created xmlns:dcterms="http://purl.org/dc/terms/" xmlns:xsi="http://www.w3.org/2001/XMLSchema-instance" xsi:type="dcterms:W3CDTF">2026-05-09T15:47:40Z</dcterms:created>
  <dcterms:modified xmlns:dcterms="http://purl.org/dc/terms/" xmlns:xsi="http://www.w3.org/2001/XMLSchema-instance" xsi:type="dcterms:W3CDTF">2026-08-10T10:07:45Z</dcterms:modified>
  <cp:lastModifiedBy>Monika Siurnicka</cp:lastModifiedBy>
</cp:coreProperties>
</file>