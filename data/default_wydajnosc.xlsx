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8519\Downloads\"/>
    </mc:Choice>
  </mc:AlternateContent>
  <xr:revisionPtr revIDLastSave="0" documentId="13_ncr:1_{C599A6FE-E960-43C1-A0DE-ACDA67BD6379}" xr6:coauthVersionLast="47" xr6:coauthVersionMax="47" xr10:uidLastSave="{00000000-0000-0000-0000-000000000000}"/>
  <bookViews>
    <workbookView xWindow="-96" yWindow="0" windowWidth="23232" windowHeight="18576" xr2:uid="{95428E59-4544-4E6C-9437-D31F68BDBA59}"/>
  </bookViews>
  <sheets>
    <sheet name="Wydajność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1" l="1"/>
  <c r="E14" i="1"/>
  <c r="F25" i="1"/>
  <c r="D31" i="1"/>
  <c r="E15" i="1"/>
  <c r="E17" i="1"/>
  <c r="E30" i="1"/>
  <c r="D30" i="1"/>
  <c r="E20" i="1"/>
  <c r="E11" i="1"/>
  <c r="F16" i="1"/>
  <c r="E16" i="1"/>
  <c r="E23" i="1"/>
  <c r="F21" i="1"/>
  <c r="E21" i="1"/>
  <c r="E28" i="1"/>
  <c r="E13" i="1"/>
  <c r="E4" i="1"/>
  <c r="E27" i="1"/>
</calcChain>
</file>

<file path=xl/sharedStrings.xml><?xml version="1.0" encoding="utf-8"?>
<sst xmlns="http://schemas.openxmlformats.org/spreadsheetml/2006/main" count="117" uniqueCount="41">
  <si>
    <t xml:space="preserve">Arkusz/dztuka </t>
  </si>
  <si>
    <t>Maszyn/Człowiek</t>
  </si>
  <si>
    <t>Nazwa maszyny</t>
  </si>
  <si>
    <t>Stawka rbg</t>
  </si>
  <si>
    <t>Arkusz</t>
  </si>
  <si>
    <t>Maszyna</t>
  </si>
  <si>
    <t>HP35K</t>
  </si>
  <si>
    <t>Maszyna lakierująca 2/Cyfra</t>
  </si>
  <si>
    <t>Easy-matrix 1</t>
  </si>
  <si>
    <t>sztuka</t>
  </si>
  <si>
    <t>Człowiek</t>
  </si>
  <si>
    <t>Wyrywanie ręczne</t>
  </si>
  <si>
    <t>Pakowanie</t>
  </si>
  <si>
    <t>KBA 1_4</t>
  </si>
  <si>
    <t>BOBST</t>
  </si>
  <si>
    <t>Sklejarka 4</t>
  </si>
  <si>
    <t>ProWax</t>
  </si>
  <si>
    <t>HP7K</t>
  </si>
  <si>
    <t>Maszyna lakierująca 1/ Cyfra +SP</t>
  </si>
  <si>
    <t>Windmill 6</t>
  </si>
  <si>
    <t>Sklejarka 2</t>
  </si>
  <si>
    <t>Windmill 5</t>
  </si>
  <si>
    <t>Assembling 4</t>
  </si>
  <si>
    <t>Klejenie ręczne</t>
  </si>
  <si>
    <t>Windmill 1</t>
  </si>
  <si>
    <t>Sklejarka  3</t>
  </si>
  <si>
    <t>Assembling 3</t>
  </si>
  <si>
    <t>Sklejarka 1</t>
  </si>
  <si>
    <t>Assembling 1</t>
  </si>
  <si>
    <t>Heidelberg CX 104</t>
  </si>
  <si>
    <t>Assembling 2</t>
  </si>
  <si>
    <t>Hewlett Packard 1</t>
  </si>
  <si>
    <t>Maszyna lakierująca 4</t>
  </si>
  <si>
    <t>Gilotyna</t>
  </si>
  <si>
    <t>SetUp czas w minutach</t>
  </si>
  <si>
    <t>Wydajnośc</t>
  </si>
  <si>
    <t>ark/h</t>
  </si>
  <si>
    <t>szt/h</t>
  </si>
  <si>
    <t>Windmill 3</t>
  </si>
  <si>
    <t>Assembling Origio</t>
  </si>
  <si>
    <t>Miara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</si>
</sst>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38"/>
      <scheme val="minor"/>
    </font>
    <font>
      <sz val="11"/>
      <color rgb="FF000000"/>
      <name val="Calibri"/>
      <family val="2"/>
      <charset val="238"/>
    </font>
    <font>
      <b/>
      <sz val="11"/>
      <color rgb="FF000000"/>
      <name val="Cambria"/>
      <family val="1"/>
      <charset val="238"/>
    </font>
    <font>
      <b/>
      <sz val="11"/>
      <color rgb="FF000000"/>
      <name val="Calibri"/>
      <family val="2"/>
      <charset val="238"/>
    </font>
    <font>
      <sz val="11"/>
      <color rgb="FF000000"/>
      <name val="Cambria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4" fontId="4" fillId="0" borderId="0" xfId="0" applyNumberFormat="1" applyFont="1"/>
    <xf numFmtId="4" fontId="1" fillId="0" borderId="0" xfId="0" applyNumberFormat="1" applyFont="1"/>
    <xf numFmtId="4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EC8E-2182-4F37-A09B-BD8AF185B943}">
  <dimension ref="A3:G31"/>
  <sheetViews>
    <sheetView tabSelected="1" zoomScale="110" zoomScaleNormal="110" workbookViewId="0">
      <selection activeCell="G4" sqref="G4"/>
    </sheetView>
  </sheetViews>
  <sheetFormatPr defaultRowHeight="14.4" x14ac:dyDescent="0.3"/>
  <cols>
    <col min="3" max="3" width="22.6640625" customWidth="1"/>
  </cols>
  <sheetData>
    <row r="3" spans="1:7" x14ac:dyDescent="0.3">
      <c r="A3" s="1" t="s">
        <v>0</v>
      </c>
      <c r="B3" s="2" t="s">
        <v>1</v>
      </c>
      <c r="C3" s="3" t="s">
        <v>2</v>
      </c>
      <c r="D3" s="2" t="s">
        <v>3</v>
      </c>
      <c r="E3" t="s">
        <v>34</v>
      </c>
      <c r="F3" t="s">
        <v>35</v>
      </c>
      <c r="G3" t="s">
        <v>40</v>
      </c>
    </row>
    <row r="4" spans="1:7" x14ac:dyDescent="0.3">
      <c r="A4" s="1" t="s">
        <v>4</v>
      </c>
      <c r="B4" s="4" t="s">
        <v>5</v>
      </c>
      <c r="C4" s="5" t="s">
        <v>6</v>
      </c>
      <c r="D4" s="6">
        <v>129.82238181818178</v>
      </c>
      <c r="E4">
        <f>59685/5609</f>
        <v>10.640934212872169</v>
      </c>
      <c r="F4">
        <v>2011</v>
      </c>
      <c r="G4" t="s">
        <v>36</v>
      </c>
    </row>
    <row r="5" spans="1:7" x14ac:dyDescent="0.3">
      <c r="A5" s="1" t="s">
        <v>4</v>
      </c>
      <c r="B5" s="4" t="s">
        <v>5</v>
      </c>
      <c r="C5" s="5" t="s">
        <v>7</v>
      </c>
      <c r="D5" s="6">
        <v>89.278445454545462</v>
      </c>
      <c r="E5">
        <f>886/7247</f>
        <v>0.12225748585621636</v>
      </c>
      <c r="F5">
        <v>1461</v>
      </c>
      <c r="G5" t="s">
        <v>36</v>
      </c>
    </row>
    <row r="6" spans="1:7" x14ac:dyDescent="0.3">
      <c r="A6" s="1" t="s">
        <v>4</v>
      </c>
      <c r="B6" s="4" t="s">
        <v>5</v>
      </c>
      <c r="C6" s="5" t="s">
        <v>8</v>
      </c>
      <c r="D6" s="6">
        <v>117.2226109090909</v>
      </c>
      <c r="E6">
        <v>30</v>
      </c>
      <c r="F6">
        <v>2597</v>
      </c>
      <c r="G6" t="s">
        <v>36</v>
      </c>
    </row>
    <row r="7" spans="1:7" x14ac:dyDescent="0.3">
      <c r="A7" s="1" t="s">
        <v>9</v>
      </c>
      <c r="B7" s="4" t="s">
        <v>10</v>
      </c>
      <c r="C7" s="5" t="s">
        <v>11</v>
      </c>
      <c r="D7" s="6">
        <v>66.150000000000006</v>
      </c>
      <c r="E7">
        <v>0</v>
      </c>
      <c r="F7">
        <v>1918</v>
      </c>
      <c r="G7" t="s">
        <v>37</v>
      </c>
    </row>
    <row r="8" spans="1:7" x14ac:dyDescent="0.3">
      <c r="A8" s="1" t="s">
        <v>9</v>
      </c>
      <c r="B8" s="4" t="s">
        <v>10</v>
      </c>
      <c r="C8" s="5" t="s">
        <v>12</v>
      </c>
      <c r="D8" s="6">
        <v>59.534999999999997</v>
      </c>
      <c r="E8">
        <v>0</v>
      </c>
      <c r="F8">
        <v>3936</v>
      </c>
      <c r="G8" t="s">
        <v>37</v>
      </c>
    </row>
    <row r="9" spans="1:7" x14ac:dyDescent="0.3">
      <c r="A9" s="1" t="s">
        <v>4</v>
      </c>
      <c r="B9" s="4" t="s">
        <v>5</v>
      </c>
      <c r="C9" s="5" t="s">
        <v>13</v>
      </c>
      <c r="D9" s="6">
        <v>113.91029999999999</v>
      </c>
      <c r="E9">
        <v>5</v>
      </c>
    </row>
    <row r="10" spans="1:7" x14ac:dyDescent="0.3">
      <c r="A10" s="1" t="s">
        <v>4</v>
      </c>
      <c r="B10" s="4" t="s">
        <v>5</v>
      </c>
      <c r="C10" s="5" t="s">
        <v>14</v>
      </c>
      <c r="D10" s="6">
        <v>155.46452727272722</v>
      </c>
      <c r="E10">
        <v>30</v>
      </c>
      <c r="F10">
        <v>4234</v>
      </c>
      <c r="G10" t="s">
        <v>36</v>
      </c>
    </row>
    <row r="11" spans="1:7" x14ac:dyDescent="0.3">
      <c r="A11" s="1" t="s">
        <v>9</v>
      </c>
      <c r="B11" s="4" t="s">
        <v>5</v>
      </c>
      <c r="C11" s="5" t="s">
        <v>15</v>
      </c>
      <c r="D11" s="6">
        <v>125.03071636363639</v>
      </c>
      <c r="E11">
        <f>26758/589</f>
        <v>45.429541595925301</v>
      </c>
      <c r="F11">
        <v>10284</v>
      </c>
      <c r="G11" t="s">
        <v>37</v>
      </c>
    </row>
    <row r="12" spans="1:7" x14ac:dyDescent="0.3">
      <c r="A12" s="1" t="s">
        <v>9</v>
      </c>
      <c r="B12" s="4" t="s">
        <v>10</v>
      </c>
      <c r="C12" s="5" t="s">
        <v>16</v>
      </c>
      <c r="D12" s="6">
        <v>76.403249999999986</v>
      </c>
      <c r="E12">
        <v>0</v>
      </c>
    </row>
    <row r="13" spans="1:7" x14ac:dyDescent="0.3">
      <c r="A13" s="1" t="s">
        <v>4</v>
      </c>
      <c r="B13" s="4" t="s">
        <v>5</v>
      </c>
      <c r="C13" s="5" t="s">
        <v>17</v>
      </c>
      <c r="D13" s="6">
        <v>118.16073818181818</v>
      </c>
      <c r="E13">
        <f>13533/11754</f>
        <v>1.1513527309851965</v>
      </c>
      <c r="F13">
        <v>2078</v>
      </c>
      <c r="G13" t="s">
        <v>36</v>
      </c>
    </row>
    <row r="14" spans="1:7" x14ac:dyDescent="0.3">
      <c r="A14" s="1" t="s">
        <v>4</v>
      </c>
      <c r="B14" s="4" t="s">
        <v>5</v>
      </c>
      <c r="C14" s="5" t="s">
        <v>18</v>
      </c>
      <c r="D14" s="6">
        <v>89.278445454545462</v>
      </c>
      <c r="E14">
        <f>886/7247</f>
        <v>0.12225748585621636</v>
      </c>
      <c r="F14">
        <v>1461</v>
      </c>
      <c r="G14" t="s">
        <v>36</v>
      </c>
    </row>
    <row r="15" spans="1:7" x14ac:dyDescent="0.3">
      <c r="A15" s="1" t="s">
        <v>4</v>
      </c>
      <c r="B15" s="4" t="s">
        <v>5</v>
      </c>
      <c r="C15" s="5" t="s">
        <v>19</v>
      </c>
      <c r="D15" s="6">
        <v>79.404054545454528</v>
      </c>
      <c r="E15">
        <f>105469/5424</f>
        <v>19.444874631268437</v>
      </c>
      <c r="F15">
        <v>1478</v>
      </c>
      <c r="G15" t="s">
        <v>36</v>
      </c>
    </row>
    <row r="16" spans="1:7" x14ac:dyDescent="0.3">
      <c r="A16" s="1" t="s">
        <v>9</v>
      </c>
      <c r="B16" s="4" t="s">
        <v>5</v>
      </c>
      <c r="C16" s="5" t="s">
        <v>20</v>
      </c>
      <c r="D16" s="6">
        <v>125.03071636363639</v>
      </c>
      <c r="E16">
        <f>84430/4103</f>
        <v>20.577626127223983</v>
      </c>
      <c r="F16">
        <f>3723</f>
        <v>3723</v>
      </c>
      <c r="G16" t="s">
        <v>37</v>
      </c>
    </row>
    <row r="17" spans="1:7" x14ac:dyDescent="0.3">
      <c r="A17" s="1" t="s">
        <v>4</v>
      </c>
      <c r="B17" s="4" t="s">
        <v>5</v>
      </c>
      <c r="C17" s="5" t="s">
        <v>21</v>
      </c>
      <c r="D17" s="6">
        <v>79.404054545454528</v>
      </c>
      <c r="E17">
        <f>46914/2158</f>
        <v>21.739573679332715</v>
      </c>
      <c r="F17">
        <v>1456</v>
      </c>
      <c r="G17" t="s">
        <v>36</v>
      </c>
    </row>
    <row r="18" spans="1:7" x14ac:dyDescent="0.3">
      <c r="A18" s="1" t="s">
        <v>9</v>
      </c>
      <c r="B18" s="4" t="s">
        <v>10</v>
      </c>
      <c r="C18" s="5" t="s">
        <v>22</v>
      </c>
      <c r="D18" s="6">
        <v>49.65</v>
      </c>
      <c r="E18">
        <v>0</v>
      </c>
      <c r="F18">
        <v>164</v>
      </c>
      <c r="G18" t="s">
        <v>37</v>
      </c>
    </row>
    <row r="19" spans="1:7" x14ac:dyDescent="0.3">
      <c r="A19" s="1" t="s">
        <v>9</v>
      </c>
      <c r="B19" s="4" t="s">
        <v>10</v>
      </c>
      <c r="C19" s="5" t="s">
        <v>23</v>
      </c>
      <c r="D19" s="6">
        <v>108.18531818181818</v>
      </c>
      <c r="E19">
        <v>0</v>
      </c>
      <c r="F19">
        <v>586</v>
      </c>
      <c r="G19" t="s">
        <v>37</v>
      </c>
    </row>
    <row r="20" spans="1:7" x14ac:dyDescent="0.3">
      <c r="A20" s="1" t="s">
        <v>4</v>
      </c>
      <c r="B20" s="4" t="s">
        <v>5</v>
      </c>
      <c r="C20" s="5" t="s">
        <v>24</v>
      </c>
      <c r="D20" s="6">
        <v>79.404054545454528</v>
      </c>
      <c r="E20">
        <f>104978/5951</f>
        <v>17.640396572004704</v>
      </c>
      <c r="F20">
        <v>1906</v>
      </c>
      <c r="G20" t="s">
        <v>36</v>
      </c>
    </row>
    <row r="21" spans="1:7" x14ac:dyDescent="0.3">
      <c r="A21" s="1" t="s">
        <v>9</v>
      </c>
      <c r="B21" s="4" t="s">
        <v>5</v>
      </c>
      <c r="C21" s="5" t="s">
        <v>25</v>
      </c>
      <c r="D21" s="6">
        <v>125.03071636363639</v>
      </c>
      <c r="E21">
        <f>76634/4801</f>
        <v>15.962091230993543</v>
      </c>
      <c r="F21">
        <f>7010</f>
        <v>7010</v>
      </c>
      <c r="G21" t="s">
        <v>37</v>
      </c>
    </row>
    <row r="22" spans="1:7" x14ac:dyDescent="0.3">
      <c r="A22" s="1" t="s">
        <v>9</v>
      </c>
      <c r="B22" s="4" t="s">
        <v>10</v>
      </c>
      <c r="C22" s="5" t="s">
        <v>26</v>
      </c>
      <c r="D22" s="6">
        <v>49.65</v>
      </c>
      <c r="E22">
        <v>0</v>
      </c>
      <c r="F22">
        <v>179</v>
      </c>
      <c r="G22" t="s">
        <v>37</v>
      </c>
    </row>
    <row r="23" spans="1:7" x14ac:dyDescent="0.3">
      <c r="A23" s="1" t="s">
        <v>9</v>
      </c>
      <c r="B23" s="4" t="s">
        <v>5</v>
      </c>
      <c r="C23" s="5" t="s">
        <v>27</v>
      </c>
      <c r="D23" s="6">
        <v>125.03071636363639</v>
      </c>
      <c r="E23">
        <f>101062/5361</f>
        <v>18.851333706398059</v>
      </c>
      <c r="F23">
        <v>4284</v>
      </c>
      <c r="G23" t="s">
        <v>37</v>
      </c>
    </row>
    <row r="24" spans="1:7" x14ac:dyDescent="0.3">
      <c r="A24" s="1" t="s">
        <v>9</v>
      </c>
      <c r="B24" s="4" t="s">
        <v>10</v>
      </c>
      <c r="C24" s="5" t="s">
        <v>28</v>
      </c>
      <c r="D24" s="6">
        <v>49.65</v>
      </c>
      <c r="E24">
        <v>0</v>
      </c>
      <c r="F24">
        <v>221</v>
      </c>
      <c r="G24" t="s">
        <v>37</v>
      </c>
    </row>
    <row r="25" spans="1:7" x14ac:dyDescent="0.3">
      <c r="A25" s="1" t="s">
        <v>4</v>
      </c>
      <c r="B25" s="4" t="s">
        <v>5</v>
      </c>
      <c r="C25" s="5" t="s">
        <v>29</v>
      </c>
      <c r="D25" s="6">
        <v>207.45842727272728</v>
      </c>
      <c r="E25">
        <v>30</v>
      </c>
      <c r="F25">
        <f>8000</f>
        <v>8000</v>
      </c>
      <c r="G25" t="s">
        <v>36</v>
      </c>
    </row>
    <row r="26" spans="1:7" x14ac:dyDescent="0.3">
      <c r="A26" s="1" t="s">
        <v>9</v>
      </c>
      <c r="B26" s="4" t="s">
        <v>10</v>
      </c>
      <c r="C26" s="4" t="s">
        <v>30</v>
      </c>
      <c r="D26" s="6">
        <v>49.65</v>
      </c>
      <c r="E26">
        <v>0</v>
      </c>
      <c r="F26">
        <v>148</v>
      </c>
      <c r="G26" t="s">
        <v>37</v>
      </c>
    </row>
    <row r="27" spans="1:7" x14ac:dyDescent="0.3">
      <c r="A27" s="1" t="s">
        <v>4</v>
      </c>
      <c r="B27" s="1" t="s">
        <v>5</v>
      </c>
      <c r="C27" s="1" t="s">
        <v>31</v>
      </c>
      <c r="D27" s="7">
        <v>113.72989090909091</v>
      </c>
      <c r="E27">
        <f>664/617</f>
        <v>1.0761750405186385</v>
      </c>
      <c r="F27">
        <v>1033</v>
      </c>
      <c r="G27" t="s">
        <v>36</v>
      </c>
    </row>
    <row r="28" spans="1:7" x14ac:dyDescent="0.3">
      <c r="A28" s="1" t="s">
        <v>4</v>
      </c>
      <c r="B28" s="1" t="s">
        <v>5</v>
      </c>
      <c r="C28" t="s">
        <v>32</v>
      </c>
      <c r="D28" s="8">
        <v>118.11538333636365</v>
      </c>
      <c r="E28">
        <f>886/7247</f>
        <v>0.12225748585621636</v>
      </c>
      <c r="F28">
        <v>1461</v>
      </c>
      <c r="G28" t="s">
        <v>36</v>
      </c>
    </row>
    <row r="29" spans="1:7" x14ac:dyDescent="0.3">
      <c r="A29" s="1" t="s">
        <v>4</v>
      </c>
      <c r="B29" s="1" t="s">
        <v>5</v>
      </c>
      <c r="C29" t="s">
        <v>33</v>
      </c>
      <c r="D29" s="8">
        <v>65.686949999999996</v>
      </c>
      <c r="E29">
        <v>0</v>
      </c>
      <c r="F29">
        <v>290</v>
      </c>
      <c r="G29" t="s">
        <v>36</v>
      </c>
    </row>
    <row r="30" spans="1:7" x14ac:dyDescent="0.3">
      <c r="A30" s="1" t="s">
        <v>4</v>
      </c>
      <c r="B30" s="4" t="s">
        <v>5</v>
      </c>
      <c r="C30" s="5" t="s">
        <v>38</v>
      </c>
      <c r="D30" s="8">
        <f>D20</f>
        <v>79.404054545454528</v>
      </c>
      <c r="E30">
        <f>719/26</f>
        <v>27.653846153846153</v>
      </c>
      <c r="F30">
        <v>1365</v>
      </c>
      <c r="G30" t="s">
        <v>36</v>
      </c>
    </row>
    <row r="31" spans="1:7" x14ac:dyDescent="0.3">
      <c r="A31" s="1" t="s">
        <v>9</v>
      </c>
      <c r="B31" s="4" t="s">
        <v>10</v>
      </c>
      <c r="C31" t="s">
        <v>39</v>
      </c>
      <c r="D31" s="8">
        <f>D26</f>
        <v>49.65</v>
      </c>
      <c r="F31">
        <v>2680</v>
      </c>
      <c r="G31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Wydajność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Siurnicka</dc:creator>
  <cp:lastModifiedBy>Monika Siurnicka</cp:lastModifiedBy>
  <dcterms:created xsi:type="dcterms:W3CDTF">2026-05-09T15:47:40Z</dcterms:created>
  <dcterms:modified xsi:type="dcterms:W3CDTF">2026-05-09T20:40:27Z</dcterms:modified>
</cp:coreProperties>
</file>